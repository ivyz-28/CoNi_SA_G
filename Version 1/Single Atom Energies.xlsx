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ivanzhang/Documents/Research/SAC Experimental project (2026-)/"/>
    </mc:Choice>
  </mc:AlternateContent>
  <xr:revisionPtr revIDLastSave="0" documentId="13_ncr:1_{5F43A136-7DAE-4844-8681-F212CA138EF9}" xr6:coauthVersionLast="47" xr6:coauthVersionMax="47" xr10:uidLastSave="{00000000-0000-0000-0000-000000000000}"/>
  <bookViews>
    <workbookView xWindow="0" yWindow="660" windowWidth="29400" windowHeight="17360" xr2:uid="{00000000-000D-0000-FFFF-FFFF00000000}"/>
  </bookViews>
  <sheets>
    <sheet name="Single Atom Energies" sheetId="1" r:id="rId1"/>
  </sheets>
  <definedNames>
    <definedName name="_xlnm._FilterDatabase" localSheetId="0" hidden="1">'Single Atom Energies'!$A$1:$C$31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3" i="1"/>
  <c r="N4" i="1"/>
  <c r="N5" i="1"/>
  <c r="N6" i="1"/>
  <c r="N7" i="1"/>
  <c r="N8" i="1"/>
  <c r="N10" i="1"/>
  <c r="N11" i="1"/>
  <c r="N12" i="1"/>
  <c r="N13" i="1"/>
  <c r="N14" i="1"/>
  <c r="N15" i="1"/>
  <c r="N16" i="1"/>
  <c r="N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<sst xmlns="http://schemas.openxmlformats.org/spreadsheetml/2006/main" count="83" uniqueCount="38">
  <si>
    <t>Structure</t>
  </si>
  <si>
    <t>Energy</t>
  </si>
  <si>
    <t>W.traj</t>
  </si>
  <si>
    <t>Re.traj</t>
  </si>
  <si>
    <t>Ir_H_relaxed.traj</t>
  </si>
  <si>
    <t>Ag.traj</t>
  </si>
  <si>
    <t>Ti.traj</t>
  </si>
  <si>
    <t>Sn.traj</t>
  </si>
  <si>
    <t>Co_H_relaxed.traj</t>
  </si>
  <si>
    <t>Mo_H_relaxed.traj</t>
  </si>
  <si>
    <t>W_H_relaxed.traj</t>
  </si>
  <si>
    <t>Cu.traj</t>
  </si>
  <si>
    <t>Mo.traj</t>
  </si>
  <si>
    <t>Ru_H_relaxed.traj</t>
  </si>
  <si>
    <t>Ni.traj</t>
  </si>
  <si>
    <t>Pt_H_relaxed.traj</t>
  </si>
  <si>
    <t>Co.traj</t>
  </si>
  <si>
    <t>Pt.traj</t>
  </si>
  <si>
    <t>Fe.traj</t>
  </si>
  <si>
    <t>Ta.traj</t>
  </si>
  <si>
    <t>Zn.traj</t>
  </si>
  <si>
    <t>Fe_H_relaxed.traj</t>
  </si>
  <si>
    <t>Zn_H_relaxed.traj</t>
  </si>
  <si>
    <t>Ru.traj</t>
  </si>
  <si>
    <t>Ni_H_relaxed.traj</t>
  </si>
  <si>
    <t>Ir.traj</t>
  </si>
  <si>
    <t>Ti_H_relaxed.traj</t>
  </si>
  <si>
    <t>Ta_H_relaxed.traj</t>
  </si>
  <si>
    <t>Re_H_relaxed.traj</t>
  </si>
  <si>
    <t>Cu_H_relaxed.traj</t>
  </si>
  <si>
    <t>Sn_H_relaxed.traj</t>
  </si>
  <si>
    <t>Ag_H_relaxed.traj</t>
  </si>
  <si>
    <t>E_H*</t>
  </si>
  <si>
    <t>E_catalyst</t>
  </si>
  <si>
    <t>H2 Energy</t>
  </si>
  <si>
    <t>E_ads</t>
  </si>
  <si>
    <t>H_Values</t>
  </si>
  <si>
    <t>Raw_Energy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</si>
</sst>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37</v>
      </c>
      <c r="E1" t="s">
        <v>32</v>
      </c>
      <c r="F1" t="s">
        <v>36</v>
      </c>
      <c r="H1" t="s">
        <v>33</v>
      </c>
      <c r="I1" t="s">
        <v>1</v>
      </c>
      <c r="K1" s="1" t="s">
        <v>34</v>
      </c>
      <c r="M1" t="s">
        <v>35</v>
      </c>
    </row>
    <row r="2" spans="1:14" x14ac:dyDescent="0.2">
      <c r="A2" t="s">
        <v>31</v>
      </c>
      <c r="B2">
        <v>-3.8302996158599849</v>
      </c>
      <c r="C2">
        <f>MOD(ROW(),2)</f>
        <v>0</v>
      </c>
      <c r="E2" t="s">
        <v>31</v>
      </c>
      <c r="F2">
        <v>-3.8302996158599849</v>
      </c>
      <c r="H2" t="s">
        <v>5</v>
      </c>
      <c r="I2">
        <v>-0.52906191349029541</v>
      </c>
      <c r="K2" s="1">
        <v>-6.6676700000000002</v>
      </c>
      <c r="M2" t="s">
        <v>5</v>
      </c>
      <c r="N2">
        <f>F2-I2-0.5*$K$2</f>
        <v>3.2597297630310607E-2</v>
      </c>
    </row>
    <row r="3" spans="1:14" x14ac:dyDescent="0.2">
      <c r="A3" t="s">
        <v>5</v>
      </c>
      <c r="B3">
        <v>-0.52906191349029541</v>
      </c>
      <c r="C3">
        <f t="shared" ref="C3:C31" si="0">MOD(ROW(),2)</f>
        <v>1</v>
      </c>
      <c r="E3" t="s">
        <v>8</v>
      </c>
      <c r="F3">
        <v>-6.80755615234375</v>
      </c>
      <c r="H3" t="s">
        <v>16</v>
      </c>
      <c r="I3">
        <v>-2.9182949066162109</v>
      </c>
      <c r="M3" t="s">
        <v>16</v>
      </c>
      <c r="N3">
        <f t="shared" ref="N3:N16" si="1">F3-I3-0.5*$K$2</f>
        <v>-0.55542624572753896</v>
      </c>
    </row>
    <row r="4" spans="1:14" x14ac:dyDescent="0.2">
      <c r="A4" t="s">
        <v>8</v>
      </c>
      <c r="B4">
        <v>-6.80755615234375</v>
      </c>
      <c r="C4">
        <f t="shared" si="0"/>
        <v>0</v>
      </c>
      <c r="E4" t="s">
        <v>29</v>
      </c>
      <c r="F4">
        <v>-4.8136863708496094</v>
      </c>
      <c r="H4" t="s">
        <v>11</v>
      </c>
      <c r="I4">
        <v>-0.64929747581481934</v>
      </c>
      <c r="M4" t="s">
        <v>11</v>
      </c>
      <c r="N4">
        <f t="shared" si="1"/>
        <v>-0.83055389503478994</v>
      </c>
    </row>
    <row r="5" spans="1:14" x14ac:dyDescent="0.2">
      <c r="A5" t="s">
        <v>16</v>
      </c>
      <c r="B5">
        <v>-2.9182949066162109</v>
      </c>
      <c r="C5">
        <f t="shared" si="0"/>
        <v>1</v>
      </c>
      <c r="E5" t="s">
        <v>21</v>
      </c>
      <c r="F5">
        <v>-7.6605539321899414</v>
      </c>
      <c r="H5" t="s">
        <v>18</v>
      </c>
      <c r="I5">
        <v>-3.569739818572998</v>
      </c>
      <c r="M5" t="s">
        <v>18</v>
      </c>
      <c r="N5">
        <f t="shared" si="1"/>
        <v>-0.75697911361694326</v>
      </c>
    </row>
    <row r="6" spans="1:14" x14ac:dyDescent="0.2">
      <c r="A6" t="s">
        <v>29</v>
      </c>
      <c r="B6">
        <v>-4.8136863708496094</v>
      </c>
      <c r="C6">
        <f t="shared" si="0"/>
        <v>0</v>
      </c>
      <c r="E6" t="s">
        <v>4</v>
      </c>
      <c r="F6">
        <v>-6.6797776222229004</v>
      </c>
      <c r="H6" t="s">
        <v>25</v>
      </c>
      <c r="I6">
        <v>-1.663548946380615</v>
      </c>
      <c r="M6" t="s">
        <v>25</v>
      </c>
      <c r="N6">
        <f t="shared" si="1"/>
        <v>-1.6823936758422851</v>
      </c>
    </row>
    <row r="7" spans="1:14" x14ac:dyDescent="0.2">
      <c r="A7" t="s">
        <v>11</v>
      </c>
      <c r="B7">
        <v>-0.64929747581481934</v>
      </c>
      <c r="C7">
        <f t="shared" si="0"/>
        <v>1</v>
      </c>
      <c r="E7" t="s">
        <v>9</v>
      </c>
      <c r="F7">
        <v>-8.602752685546875</v>
      </c>
      <c r="H7" t="s">
        <v>12</v>
      </c>
      <c r="I7">
        <v>-4.5633149147033691</v>
      </c>
      <c r="M7" t="s">
        <v>12</v>
      </c>
      <c r="N7">
        <f t="shared" si="1"/>
        <v>-0.70560277084350576</v>
      </c>
    </row>
    <row r="8" spans="1:14" x14ac:dyDescent="0.2">
      <c r="A8" t="s">
        <v>21</v>
      </c>
      <c r="B8">
        <v>-7.6605539321899414</v>
      </c>
      <c r="C8">
        <f t="shared" si="0"/>
        <v>0</v>
      </c>
      <c r="E8" t="s">
        <v>24</v>
      </c>
      <c r="F8">
        <v>-5.4563074111938477</v>
      </c>
      <c r="H8" t="s">
        <v>14</v>
      </c>
      <c r="I8">
        <v>-1.3152756690978999</v>
      </c>
      <c r="M8" t="s">
        <v>14</v>
      </c>
      <c r="N8">
        <f t="shared" si="1"/>
        <v>-0.80719674209594716</v>
      </c>
    </row>
    <row r="9" spans="1:14" x14ac:dyDescent="0.2">
      <c r="A9" t="s">
        <v>18</v>
      </c>
      <c r="B9">
        <v>-3.569739818572998</v>
      </c>
      <c r="C9">
        <f t="shared" si="0"/>
        <v>1</v>
      </c>
      <c r="E9" t="s">
        <v>15</v>
      </c>
      <c r="F9">
        <v>-5.5156054496765137</v>
      </c>
      <c r="H9" t="s">
        <v>17</v>
      </c>
      <c r="I9">
        <v>-0.93012571334838867</v>
      </c>
      <c r="M9" t="s">
        <v>17</v>
      </c>
      <c r="N9">
        <f>F9-I9-0.5*$K$2</f>
        <v>-1.2516447363281249</v>
      </c>
    </row>
    <row r="10" spans="1:14" x14ac:dyDescent="0.2">
      <c r="A10" t="s">
        <v>4</v>
      </c>
      <c r="B10">
        <v>-6.6797776222229004</v>
      </c>
      <c r="C10">
        <f t="shared" si="0"/>
        <v>0</v>
      </c>
      <c r="E10" t="s">
        <v>28</v>
      </c>
      <c r="F10">
        <v>-8.6709623336791992</v>
      </c>
      <c r="H10" t="s">
        <v>3</v>
      </c>
      <c r="I10">
        <v>-4.3620638847351074</v>
      </c>
      <c r="M10" t="s">
        <v>3</v>
      </c>
      <c r="N10">
        <f t="shared" si="1"/>
        <v>-0.97506344894409169</v>
      </c>
    </row>
    <row r="11" spans="1:14" x14ac:dyDescent="0.2">
      <c r="A11" t="s">
        <v>25</v>
      </c>
      <c r="B11">
        <v>-1.663548946380615</v>
      </c>
      <c r="C11">
        <f t="shared" si="0"/>
        <v>1</v>
      </c>
      <c r="E11" t="s">
        <v>13</v>
      </c>
      <c r="F11">
        <v>-7.0572528839111328</v>
      </c>
      <c r="H11" t="s">
        <v>23</v>
      </c>
      <c r="I11">
        <v>-2.562322616577148</v>
      </c>
      <c r="M11" t="s">
        <v>23</v>
      </c>
      <c r="N11">
        <f t="shared" si="1"/>
        <v>-1.1610952673339843</v>
      </c>
    </row>
    <row r="12" spans="1:14" x14ac:dyDescent="0.2">
      <c r="A12" t="s">
        <v>9</v>
      </c>
      <c r="B12">
        <v>-8.602752685546875</v>
      </c>
      <c r="C12">
        <f t="shared" si="0"/>
        <v>0</v>
      </c>
      <c r="E12" t="s">
        <v>30</v>
      </c>
      <c r="F12">
        <v>-5.0352067947387704</v>
      </c>
      <c r="H12" t="s">
        <v>7</v>
      </c>
      <c r="I12">
        <v>-1.104928255081177</v>
      </c>
      <c r="M12" t="s">
        <v>7</v>
      </c>
      <c r="N12">
        <f t="shared" si="1"/>
        <v>-0.59644353965759356</v>
      </c>
    </row>
    <row r="13" spans="1:14" x14ac:dyDescent="0.2">
      <c r="A13" t="s">
        <v>12</v>
      </c>
      <c r="B13">
        <v>-4.5633149147033691</v>
      </c>
      <c r="C13">
        <f t="shared" si="0"/>
        <v>1</v>
      </c>
      <c r="E13" t="s">
        <v>27</v>
      </c>
      <c r="F13">
        <v>-8.0390853881835938</v>
      </c>
      <c r="H13" t="s">
        <v>19</v>
      </c>
      <c r="I13">
        <v>-3.6225395202636719</v>
      </c>
      <c r="M13" t="s">
        <v>19</v>
      </c>
      <c r="N13">
        <f t="shared" si="1"/>
        <v>-1.0827108679199218</v>
      </c>
    </row>
    <row r="14" spans="1:14" x14ac:dyDescent="0.2">
      <c r="A14" t="s">
        <v>24</v>
      </c>
      <c r="B14">
        <v>-5.4563074111938477</v>
      </c>
      <c r="C14">
        <f t="shared" si="0"/>
        <v>0</v>
      </c>
      <c r="E14" t="s">
        <v>26</v>
      </c>
      <c r="F14">
        <v>-7.0666661262512207</v>
      </c>
      <c r="H14" t="s">
        <v>6</v>
      </c>
      <c r="I14">
        <v>-2.8843216896057129</v>
      </c>
      <c r="M14" t="s">
        <v>6</v>
      </c>
      <c r="N14">
        <f t="shared" si="1"/>
        <v>-0.84850943664550771</v>
      </c>
    </row>
    <row r="15" spans="1:14" x14ac:dyDescent="0.2">
      <c r="A15" t="s">
        <v>14</v>
      </c>
      <c r="B15">
        <v>-1.3152756690978999</v>
      </c>
      <c r="C15">
        <f t="shared" si="0"/>
        <v>1</v>
      </c>
      <c r="E15" t="s">
        <v>10</v>
      </c>
      <c r="F15">
        <v>-9.5757226943969727</v>
      </c>
      <c r="H15" t="s">
        <v>2</v>
      </c>
      <c r="I15">
        <v>-5.5531702041625977</v>
      </c>
      <c r="M15" t="s">
        <v>2</v>
      </c>
      <c r="N15">
        <f t="shared" si="1"/>
        <v>-0.6887174902343749</v>
      </c>
    </row>
    <row r="16" spans="1:14" x14ac:dyDescent="0.2">
      <c r="A16" t="s">
        <v>15</v>
      </c>
      <c r="B16">
        <v>-5.5156054496765137</v>
      </c>
      <c r="C16">
        <f t="shared" si="0"/>
        <v>0</v>
      </c>
      <c r="E16" t="s">
        <v>22</v>
      </c>
      <c r="F16">
        <v>-3.6703448295593262</v>
      </c>
      <c r="H16" t="s">
        <v>20</v>
      </c>
      <c r="I16">
        <v>8.2349538803100586E-2</v>
      </c>
      <c r="M16" t="s">
        <v>20</v>
      </c>
      <c r="N16">
        <f t="shared" si="1"/>
        <v>-0.41885936836242665</v>
      </c>
    </row>
    <row r="17" spans="1:3" x14ac:dyDescent="0.2">
      <c r="A17" t="s">
        <v>17</v>
      </c>
      <c r="B17">
        <v>-0.93012571334838867</v>
      </c>
      <c r="C17">
        <f t="shared" si="0"/>
        <v>1</v>
      </c>
    </row>
    <row r="18" spans="1:3" x14ac:dyDescent="0.2">
      <c r="A18" t="s">
        <v>28</v>
      </c>
      <c r="B18">
        <v>-8.6709623336791992</v>
      </c>
      <c r="C18">
        <f t="shared" si="0"/>
        <v>0</v>
      </c>
    </row>
    <row r="19" spans="1:3" x14ac:dyDescent="0.2">
      <c r="A19" t="s">
        <v>3</v>
      </c>
      <c r="B19">
        <v>-4.3620638847351074</v>
      </c>
      <c r="C19">
        <f t="shared" si="0"/>
        <v>1</v>
      </c>
    </row>
    <row r="20" spans="1:3" x14ac:dyDescent="0.2">
      <c r="A20" t="s">
        <v>13</v>
      </c>
      <c r="B20">
        <v>-7.0572528839111328</v>
      </c>
      <c r="C20">
        <f t="shared" si="0"/>
        <v>0</v>
      </c>
    </row>
    <row r="21" spans="1:3" x14ac:dyDescent="0.2">
      <c r="A21" t="s">
        <v>23</v>
      </c>
      <c r="B21">
        <v>-2.562322616577148</v>
      </c>
      <c r="C21">
        <f t="shared" si="0"/>
        <v>1</v>
      </c>
    </row>
    <row r="22" spans="1:3" x14ac:dyDescent="0.2">
      <c r="A22" t="s">
        <v>30</v>
      </c>
      <c r="B22">
        <v>-5.0352067947387704</v>
      </c>
      <c r="C22">
        <f t="shared" si="0"/>
        <v>0</v>
      </c>
    </row>
    <row r="23" spans="1:3" x14ac:dyDescent="0.2">
      <c r="A23" t="s">
        <v>7</v>
      </c>
      <c r="B23">
        <v>-1.104928255081177</v>
      </c>
      <c r="C23">
        <f t="shared" si="0"/>
        <v>1</v>
      </c>
    </row>
    <row r="24" spans="1:3" x14ac:dyDescent="0.2">
      <c r="A24" t="s">
        <v>27</v>
      </c>
      <c r="B24">
        <v>-8.0390853881835938</v>
      </c>
      <c r="C24">
        <f t="shared" si="0"/>
        <v>0</v>
      </c>
    </row>
    <row r="25" spans="1:3" x14ac:dyDescent="0.2">
      <c r="A25" t="s">
        <v>19</v>
      </c>
      <c r="B25">
        <v>-3.6225395202636719</v>
      </c>
      <c r="C25">
        <f t="shared" si="0"/>
        <v>1</v>
      </c>
    </row>
    <row r="26" spans="1:3" x14ac:dyDescent="0.2">
      <c r="A26" t="s">
        <v>26</v>
      </c>
      <c r="B26">
        <v>-7.0666661262512207</v>
      </c>
      <c r="C26">
        <f t="shared" si="0"/>
        <v>0</v>
      </c>
    </row>
    <row r="27" spans="1:3" x14ac:dyDescent="0.2">
      <c r="A27" t="s">
        <v>6</v>
      </c>
      <c r="B27">
        <v>-2.8843216896057129</v>
      </c>
      <c r="C27">
        <f t="shared" si="0"/>
        <v>1</v>
      </c>
    </row>
    <row r="28" spans="1:3" x14ac:dyDescent="0.2">
      <c r="A28" t="s">
        <v>10</v>
      </c>
      <c r="B28">
        <v>-9.5757226943969727</v>
      </c>
      <c r="C28">
        <f t="shared" si="0"/>
        <v>0</v>
      </c>
    </row>
    <row r="29" spans="1:3" x14ac:dyDescent="0.2">
      <c r="A29" t="s">
        <v>2</v>
      </c>
      <c r="B29">
        <v>-5.5531702041625977</v>
      </c>
      <c r="C29">
        <f t="shared" si="0"/>
        <v>1</v>
      </c>
    </row>
    <row r="30" spans="1:3" x14ac:dyDescent="0.2">
      <c r="A30" t="s">
        <v>22</v>
      </c>
      <c r="B30">
        <v>-3.6703448295593262</v>
      </c>
      <c r="C30">
        <f t="shared" si="0"/>
        <v>0</v>
      </c>
    </row>
    <row r="31" spans="1:3" x14ac:dyDescent="0.2">
      <c r="A31" t="s">
        <v>20</v>
      </c>
      <c r="B31">
        <v>8.2349538803100586E-2</v>
      </c>
      <c r="C31">
        <f t="shared" si="0"/>
        <v>1</v>
      </c>
    </row>
  </sheetData>
  <autoFilter ref="A1:C31" xr:uid="{00000000-0001-0000-0000-000000000000}"/>
  <sortState xmlns:xlrd2="http://schemas.microsoft.com/office/spreadsheetml/2017/richdata2" ref="A2:B31"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Atom Energies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Zhang</cp:lastModifiedBy>
  <dcterms:created xsi:type="dcterms:W3CDTF">2026-07-06T00:38:33Z</dcterms:created>
  <dcterms:modified xsi:type="dcterms:W3CDTF">2026-07-13T00:33:44Z</dcterms:modified>
</cp:coreProperties>
</file>